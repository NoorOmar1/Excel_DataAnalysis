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20111\Desktop\Excel Project\"/>
    </mc:Choice>
  </mc:AlternateContent>
  <xr:revisionPtr revIDLastSave="0" documentId="13_ncr:1_{A64BEFB6-41DC-48FC-A69D-3A257B4EE103}"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_Sheet" sheetId="4" r:id="rId2"/>
    <sheet name="Pivot_Tables" sheetId="6" r:id="rId3"/>
    <sheet name="DashBoard" sheetId="2"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<sst xmlns="http://schemas.openxmlformats.org/spreadsheetml/2006/main" count="16267" uniqueCount="51">
  <si>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</si>
  <si>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</si>
  <si>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</si>
  <si>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</si>
  <si>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</si>
  <si>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</si>
  <si>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</si>
  <si>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</si>
  <si>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</si>
  <si>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</si>
  <si>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</si>
  <si>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</si>
  <si>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</si>
  <si>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</si>
  <si>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</si>
  <si>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</si>
  <si>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</si>
  <si>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</si>
  <si>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</si>
  <si>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</si>
  <si>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</si>
  <si>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</si>
  <si>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</si>
  <si>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</si>
  <si>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</si>
  <si>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</si>
  <si>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</si>
  <si>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</si>
  <si>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</si>
  <si>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</si>
  <si>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</si>
  <si>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</si>
  <si>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</si>
  <si>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</si>
  <si>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</si>
  <si>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</si>
  <si>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</si>
  <si>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</si>
  <si>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</si>
  <si>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</si>
  <si>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Age_Bracket</t>
  </si>
  <si>
    <t>Row Labels</t>
  </si>
  <si>
    <t>Grand Total</t>
  </si>
  <si>
    <t>Column Labels</t>
  </si>
  <si>
    <t>Average of Income</t>
  </si>
  <si>
    <t>Count of Purchased Bike</t>
  </si>
  <si>
    <t>More Than 10 Miles</t>
  </si>
  <si>
    <t>Adolescent</t>
  </si>
  <si>
    <t>Middle_Age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</si>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</sst>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0"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Project_Updated.xlsx]Pivot_Tables!PivotTable2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Based On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Pivot_Tables!$B$1:$B$2</c:f>
              <c:strCache>
                <c:ptCount val="1"/>
                <c:pt idx="0">
                  <c:v>No</c:v>
                </c:pt>
              </c:strCache>
            </c:strRef>
          </c:tx>
          <c:spPr>
            <a:solidFill>
              <a:schemeClr val="accent1"/>
            </a:solidFill>
            <a:ln>
              <a:noFill/>
            </a:ln>
            <a:effectLst/>
          </c:spPr>
          <c:invertIfNegative val="0"/>
          <c:cat>
            <c:strRef>
              <c:f>Pivot_Tables!$A$3:$A$5</c:f>
              <c:strCache>
                <c:ptCount val="2"/>
                <c:pt idx="0">
                  <c:v>Female</c:v>
                </c:pt>
                <c:pt idx="1">
                  <c:v>Male</c:v>
                </c:pt>
              </c:strCache>
            </c:strRef>
          </c:cat>
          <c:val>
            <c:numRef>
              <c:f>Pivot_Tables!$B$3:$B$5</c:f>
              <c:numCache>
                <c:formatCode>_(* #,##0_);_(* \(#,##0\);_(* "-"??_);_(@_)</c:formatCode>
                <c:ptCount val="2"/>
                <c:pt idx="0">
                  <c:v>53440</c:v>
                </c:pt>
                <c:pt idx="1">
                  <c:v>56208.178438661707</c:v>
                </c:pt>
              </c:numCache>
            </c:numRef>
          </c:val>
          <c:extLst>
            <c:ext xmlns:c16="http://schemas.microsoft.com/office/drawing/2014/chart" uri="{C3380CC4-5D6E-409C-BE32-E72D297353CC}">
              <c16:uniqueId val="{00000000-D3FB-4B41-A5FF-B860ACBDD5CD}"/>
            </c:ext>
          </c:extLst>
        </c:ser>
        <c:ser>
          <c:idx val="1"/>
          <c:order val="1"/>
          <c:tx>
            <c:strRef>
              <c:f>Pivot_Tables!$C$1:$C$2</c:f>
              <c:strCache>
                <c:ptCount val="1"/>
                <c:pt idx="0">
                  <c:v>Yes</c:v>
                </c:pt>
              </c:strCache>
            </c:strRef>
          </c:tx>
          <c:spPr>
            <a:solidFill>
              <a:schemeClr val="accent2"/>
            </a:solidFill>
            <a:ln>
              <a:noFill/>
            </a:ln>
            <a:effectLst/>
          </c:spPr>
          <c:invertIfNegative val="0"/>
          <c:cat>
            <c:strRef>
              <c:f>Pivot_Tables!$A$3:$A$5</c:f>
              <c:strCache>
                <c:ptCount val="2"/>
                <c:pt idx="0">
                  <c:v>Female</c:v>
                </c:pt>
                <c:pt idx="1">
                  <c:v>Male</c:v>
                </c:pt>
              </c:strCache>
            </c:strRef>
          </c:cat>
          <c:val>
            <c:numRef>
              <c:f>Pivot_Tables!$C$3:$C$5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3FB-4B41-A5FF-B860ACBDD5CD}"/>
            </c:ext>
          </c:extLst>
        </c:ser>
        <c:dLbls>
          <c:showLegendKey val="0"/>
          <c:showVal val="0"/>
          <c:showCatName val="0"/>
          <c:showSerName val="0"/>
          <c:showPercent val="0"/>
          <c:showBubbleSize val="0"/>
        </c:dLbls>
        <c:gapWidth val="219"/>
        <c:overlap val="-27"/>
        <c:axId val="1947413407"/>
        <c:axId val="1947421087"/>
      </c:barChart>
      <c:catAx>
        <c:axId val="1947413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421087"/>
        <c:crosses val="autoZero"/>
        <c:auto val="0"/>
        <c:lblAlgn val="ctr"/>
        <c:lblOffset val="100"/>
        <c:noMultiLvlLbl val="0"/>
      </c:catAx>
      <c:valAx>
        <c:axId val="1947421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413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Project_Updated.xlsx]Pivot_Tables!PivotTable3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Pivot_Tables!$B$21:$B$22</c:f>
              <c:strCache>
                <c:ptCount val="1"/>
                <c:pt idx="0">
                  <c:v>No</c:v>
                </c:pt>
              </c:strCache>
            </c:strRef>
          </c:tx>
          <c:spPr>
            <a:ln w="28575" cap="rnd">
              <a:solidFill>
                <a:schemeClr val="accent1"/>
              </a:solidFill>
              <a:round/>
            </a:ln>
            <a:effectLst/>
          </c:spPr>
          <c:marker>
            <c:symbol val="none"/>
          </c:marker>
          <c:cat>
            <c:strRef>
              <c:f>Pivot_Tables!$A$23:$A$28</c:f>
              <c:strCache>
                <c:ptCount val="5"/>
                <c:pt idx="0">
                  <c:v>0-1 Miles</c:v>
                </c:pt>
                <c:pt idx="1">
                  <c:v>1-2 Miles</c:v>
                </c:pt>
                <c:pt idx="2">
                  <c:v>2-5 Miles</c:v>
                </c:pt>
                <c:pt idx="3">
                  <c:v>5-10 Miles</c:v>
                </c:pt>
                <c:pt idx="4">
                  <c:v>More Than 10 Miles</c:v>
                </c:pt>
              </c:strCache>
            </c:strRef>
          </c:cat>
          <c:val>
            <c:numRef>
              <c:f>Pivot_Tables!$B$23:$B$28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7F-4470-9AAF-0C8F30A527B2}"/>
            </c:ext>
          </c:extLst>
        </c:ser>
        <c:ser>
          <c:idx val="1"/>
          <c:order val="1"/>
          <c:tx>
            <c:strRef>
              <c:f>Pivot_Tables!$C$21:$C$22</c:f>
              <c:strCache>
                <c:ptCount val="1"/>
                <c:pt idx="0">
                  <c:v>Yes</c:v>
                </c:pt>
              </c:strCache>
            </c:strRef>
          </c:tx>
          <c:spPr>
            <a:ln w="28575" cap="rnd">
              <a:solidFill>
                <a:schemeClr val="accent2"/>
              </a:solidFill>
              <a:round/>
            </a:ln>
            <a:effectLst/>
          </c:spPr>
          <c:marker>
            <c:symbol val="none"/>
          </c:marker>
          <c:cat>
            <c:strRef>
              <c:f>Pivot_Tables!$A$23:$A$28</c:f>
              <c:strCache>
                <c:ptCount val="5"/>
                <c:pt idx="0">
                  <c:v>0-1 Miles</c:v>
                </c:pt>
                <c:pt idx="1">
                  <c:v>1-2 Miles</c:v>
                </c:pt>
                <c:pt idx="2">
                  <c:v>2-5 Miles</c:v>
                </c:pt>
                <c:pt idx="3">
                  <c:v>5-10 Miles</c:v>
                </c:pt>
                <c:pt idx="4">
                  <c:v>More Than 10 Miles</c:v>
                </c:pt>
              </c:strCache>
            </c:strRef>
          </c:cat>
          <c:val>
            <c:numRef>
              <c:f>Pivot_Tables!$C$23:$C$28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7F-4470-9AAF-0C8F30A527B2}"/>
            </c:ext>
          </c:extLst>
        </c:ser>
        <c:dLbls>
          <c:showLegendKey val="0"/>
          <c:showVal val="0"/>
          <c:showCatName val="0"/>
          <c:showSerName val="0"/>
          <c:showPercent val="0"/>
          <c:showBubbleSize val="0"/>
        </c:dLbls>
        <c:smooth val="0"/>
        <c:axId val="1426784335"/>
        <c:axId val="1426780975"/>
      </c:lineChart>
      <c:catAx>
        <c:axId val="1426784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780975"/>
        <c:crosses val="autoZero"/>
        <c:auto val="1"/>
        <c:lblAlgn val="ctr"/>
        <c:lblOffset val="100"/>
        <c:noMultiLvlLbl val="0"/>
      </c:catAx>
      <c:valAx>
        <c:axId val="1426780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Purchases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78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Project_Updated.xlsx]Pivot_Tables!PivotTable4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Customer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Pivot_Tables!$B$38:$B$39</c:f>
              <c:strCache>
                <c:ptCount val="1"/>
                <c:pt idx="0">
                  <c:v>No</c:v>
                </c:pt>
              </c:strCache>
            </c:strRef>
          </c:tx>
          <c:spPr>
            <a:solidFill>
              <a:schemeClr val="accent1"/>
            </a:solidFill>
            <a:ln>
              <a:noFill/>
            </a:ln>
            <a:effectLst/>
          </c:spPr>
          <c:invertIfNegative val="0"/>
          <c:cat>
            <c:strRef>
              <c:f>Pivot_Tables!$A$40:$A$43</c:f>
              <c:strCache>
                <c:ptCount val="3"/>
                <c:pt idx="0">
                  <c:v>Adolescent</c:v>
                </c:pt>
                <c:pt idx="1">
                  <c:v>Middle_Age</c:v>
                </c:pt>
                <c:pt idx="2">
                  <c:v>Old</c:v>
                </c:pt>
              </c:strCache>
            </c:strRef>
          </c:cat>
          <c:val>
            <c:numRef>
              <c:f>Pivot_Tables!$B$40:$B$43</c:f>
              <c:numCache>
                <c:formatCode>General</c:formatCode>
                <c:ptCount val="3"/>
                <c:pt idx="0">
                  <c:v>71</c:v>
                </c:pt>
                <c:pt idx="1">
                  <c:v>318</c:v>
                </c:pt>
                <c:pt idx="2">
                  <c:v>130</c:v>
                </c:pt>
              </c:numCache>
            </c:numRef>
          </c:val>
          <c:extLst>
            <c:ext xmlns:c16="http://schemas.microsoft.com/office/drawing/2014/chart" uri="{C3380CC4-5D6E-409C-BE32-E72D297353CC}">
              <c16:uniqueId val="{00000000-57FF-4CCE-89D7-B0D252479A27}"/>
            </c:ext>
          </c:extLst>
        </c:ser>
        <c:ser>
          <c:idx val="1"/>
          <c:order val="1"/>
          <c:tx>
            <c:strRef>
              <c:f>Pivot_Tables!$C$38:$C$39</c:f>
              <c:strCache>
                <c:ptCount val="1"/>
                <c:pt idx="0">
                  <c:v>Yes</c:v>
                </c:pt>
              </c:strCache>
            </c:strRef>
          </c:tx>
          <c:spPr>
            <a:solidFill>
              <a:schemeClr val="accent2"/>
            </a:solidFill>
            <a:ln>
              <a:noFill/>
            </a:ln>
            <a:effectLst/>
          </c:spPr>
          <c:invertIfNegative val="0"/>
          <c:cat>
            <c:strRef>
              <c:f>Pivot_Tables!$A$40:$A$43</c:f>
              <c:strCache>
                <c:ptCount val="3"/>
                <c:pt idx="0">
                  <c:v>Adolescent</c:v>
                </c:pt>
                <c:pt idx="1">
                  <c:v>Middle_Age</c:v>
                </c:pt>
                <c:pt idx="2">
                  <c:v>Old</c:v>
                </c:pt>
              </c:strCache>
            </c:strRef>
          </c:cat>
          <c:val>
            <c:numRef>
              <c:f>Pivot_Tables!$C$40:$C$43</c:f>
              <c:numCache>
                <c:formatCode>General</c:formatCode>
                <c:ptCount val="3"/>
                <c:pt idx="0">
                  <c:v>39</c:v>
                </c:pt>
                <c:pt idx="1">
                  <c:v>383</c:v>
                </c:pt>
                <c:pt idx="2">
                  <c:v>59</c:v>
                </c:pt>
              </c:numCache>
            </c:numRef>
          </c:val>
          <c:extLst>
            <c:ext xmlns:c16="http://schemas.microsoft.com/office/drawing/2014/chart" uri="{C3380CC4-5D6E-409C-BE32-E72D297353CC}">
              <c16:uniqueId val="{00000001-57FF-4CCE-89D7-B0D252479A27}"/>
            </c:ext>
          </c:extLst>
        </c:ser>
        <c:dLbls>
          <c:showLegendKey val="0"/>
          <c:showVal val="0"/>
          <c:showCatName val="0"/>
          <c:showSerName val="0"/>
          <c:showPercent val="0"/>
          <c:showBubbleSize val="0"/>
        </c:dLbls>
        <c:gapWidth val="219"/>
        <c:overlap val="-27"/>
        <c:axId val="1426786735"/>
        <c:axId val="1426787215"/>
      </c:barChart>
      <c:catAx>
        <c:axId val="1426786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Age_Bracket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787215"/>
        <c:crosses val="autoZero"/>
        <c:auto val="1"/>
        <c:lblAlgn val="ctr"/>
        <c:lblOffset val="100"/>
        <c:noMultiLvlLbl val="0"/>
      </c:catAx>
      <c:valAx>
        <c:axId val="1426787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Purchase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78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Project_Updated.xlsx]Pivot_Tables!PivotTable2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Based On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Pivot_Tables!$B$1:$B$2</c:f>
              <c:strCache>
                <c:ptCount val="1"/>
                <c:pt idx="0">
                  <c:v>No</c:v>
                </c:pt>
              </c:strCache>
            </c:strRef>
          </c:tx>
          <c:spPr>
            <a:solidFill>
              <a:schemeClr val="accent1"/>
            </a:solidFill>
            <a:ln>
              <a:noFill/>
            </a:ln>
            <a:effectLst/>
          </c:spPr>
          <c:invertIfNegative val="0"/>
          <c:cat>
            <c:strRef>
              <c:f>Pivot_Tables!$A$3:$A$5</c:f>
              <c:strCache>
                <c:ptCount val="2"/>
                <c:pt idx="0">
                  <c:v>Female</c:v>
                </c:pt>
                <c:pt idx="1">
                  <c:v>Male</c:v>
                </c:pt>
              </c:strCache>
            </c:strRef>
          </c:cat>
          <c:val>
            <c:numRef>
              <c:f>Pivot_Tables!$B$3:$B$5</c:f>
              <c:numCache>
                <c:formatCode>_(* #,##0_);_(* \(#,##0\);_(* "-"??_);_(@_)</c:formatCode>
                <c:ptCount val="2"/>
                <c:pt idx="0">
                  <c:v>53440</c:v>
                </c:pt>
                <c:pt idx="1">
                  <c:v>56208.178438661707</c:v>
                </c:pt>
              </c:numCache>
            </c:numRef>
          </c:val>
          <c:extLst>
            <c:ext xmlns:c16="http://schemas.microsoft.com/office/drawing/2014/chart" uri="{C3380CC4-5D6E-409C-BE32-E72D297353CC}">
              <c16:uniqueId val="{00000000-9F4E-4953-B22B-03219A831BAF}"/>
            </c:ext>
          </c:extLst>
        </c:ser>
        <c:ser>
          <c:idx val="1"/>
          <c:order val="1"/>
          <c:tx>
            <c:strRef>
              <c:f>Pivot_Tables!$C$1:$C$2</c:f>
              <c:strCache>
                <c:ptCount val="1"/>
                <c:pt idx="0">
                  <c:v>Yes</c:v>
                </c:pt>
              </c:strCache>
            </c:strRef>
          </c:tx>
          <c:spPr>
            <a:solidFill>
              <a:schemeClr val="accent2"/>
            </a:solidFill>
            <a:ln>
              <a:noFill/>
            </a:ln>
            <a:effectLst/>
          </c:spPr>
          <c:invertIfNegative val="0"/>
          <c:cat>
            <c:strRef>
              <c:f>Pivot_Tables!$A$3:$A$5</c:f>
              <c:strCache>
                <c:ptCount val="2"/>
                <c:pt idx="0">
                  <c:v>Female</c:v>
                </c:pt>
                <c:pt idx="1">
                  <c:v>Male</c:v>
                </c:pt>
              </c:strCache>
            </c:strRef>
          </c:cat>
          <c:val>
            <c:numRef>
              <c:f>Pivot_Tables!$C$3:$C$5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F4E-4953-B22B-03219A831BAF}"/>
            </c:ext>
          </c:extLst>
        </c:ser>
        <c:dLbls>
          <c:showLegendKey val="0"/>
          <c:showVal val="0"/>
          <c:showCatName val="0"/>
          <c:showSerName val="0"/>
          <c:showPercent val="0"/>
          <c:showBubbleSize val="0"/>
        </c:dLbls>
        <c:gapWidth val="219"/>
        <c:overlap val="-27"/>
        <c:axId val="1947413407"/>
        <c:axId val="1947421087"/>
      </c:barChart>
      <c:catAx>
        <c:axId val="1947413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421087"/>
        <c:crosses val="autoZero"/>
        <c:auto val="0"/>
        <c:lblAlgn val="ctr"/>
        <c:lblOffset val="100"/>
        <c:noMultiLvlLbl val="0"/>
      </c:catAx>
      <c:valAx>
        <c:axId val="1947421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413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Project_Updated.xlsx]Pivot_Tables!PivotTable3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Pivot_Tables!$B$21:$B$22</c:f>
              <c:strCache>
                <c:ptCount val="1"/>
                <c:pt idx="0">
                  <c:v>No</c:v>
                </c:pt>
              </c:strCache>
            </c:strRef>
          </c:tx>
          <c:spPr>
            <a:ln w="28575" cap="rnd">
              <a:solidFill>
                <a:schemeClr val="accent1"/>
              </a:solidFill>
              <a:round/>
            </a:ln>
            <a:effectLst/>
          </c:spPr>
          <c:marker>
            <c:symbol val="none"/>
          </c:marker>
          <c:cat>
            <c:strRef>
              <c:f>Pivot_Tables!$A$23:$A$28</c:f>
              <c:strCache>
                <c:ptCount val="5"/>
                <c:pt idx="0">
                  <c:v>0-1 Miles</c:v>
                </c:pt>
                <c:pt idx="1">
                  <c:v>1-2 Miles</c:v>
                </c:pt>
                <c:pt idx="2">
                  <c:v>2-5 Miles</c:v>
                </c:pt>
                <c:pt idx="3">
                  <c:v>5-10 Miles</c:v>
                </c:pt>
                <c:pt idx="4">
                  <c:v>More Than 10 Miles</c:v>
                </c:pt>
              </c:strCache>
            </c:strRef>
          </c:cat>
          <c:val>
            <c:numRef>
              <c:f>Pivot_Tables!$B$23:$B$28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A8D-472A-8C85-57584A25B1B4}"/>
            </c:ext>
          </c:extLst>
        </c:ser>
        <c:ser>
          <c:idx val="1"/>
          <c:order val="1"/>
          <c:tx>
            <c:strRef>
              <c:f>Pivot_Tables!$C$21:$C$22</c:f>
              <c:strCache>
                <c:ptCount val="1"/>
                <c:pt idx="0">
                  <c:v>Yes</c:v>
                </c:pt>
              </c:strCache>
            </c:strRef>
          </c:tx>
          <c:spPr>
            <a:ln w="28575" cap="rnd">
              <a:solidFill>
                <a:schemeClr val="accent2"/>
              </a:solidFill>
              <a:round/>
            </a:ln>
            <a:effectLst/>
          </c:spPr>
          <c:marker>
            <c:symbol val="none"/>
          </c:marker>
          <c:cat>
            <c:strRef>
              <c:f>Pivot_Tables!$A$23:$A$28</c:f>
              <c:strCache>
                <c:ptCount val="5"/>
                <c:pt idx="0">
                  <c:v>0-1 Miles</c:v>
                </c:pt>
                <c:pt idx="1">
                  <c:v>1-2 Miles</c:v>
                </c:pt>
                <c:pt idx="2">
                  <c:v>2-5 Miles</c:v>
                </c:pt>
                <c:pt idx="3">
                  <c:v>5-10 Miles</c:v>
                </c:pt>
                <c:pt idx="4">
                  <c:v>More Than 10 Miles</c:v>
                </c:pt>
              </c:strCache>
            </c:strRef>
          </c:cat>
          <c:val>
            <c:numRef>
              <c:f>Pivot_Tables!$C$23:$C$28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A8D-472A-8C85-57584A25B1B4}"/>
            </c:ext>
          </c:extLst>
        </c:ser>
        <c:dLbls>
          <c:showLegendKey val="0"/>
          <c:showVal val="0"/>
          <c:showCatName val="0"/>
          <c:showSerName val="0"/>
          <c:showPercent val="0"/>
          <c:showBubbleSize val="0"/>
        </c:dLbls>
        <c:smooth val="0"/>
        <c:axId val="1426784335"/>
        <c:axId val="1426780975"/>
      </c:lineChart>
      <c:catAx>
        <c:axId val="1426784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780975"/>
        <c:crosses val="autoZero"/>
        <c:auto val="1"/>
        <c:lblAlgn val="ctr"/>
        <c:lblOffset val="100"/>
        <c:noMultiLvlLbl val="0"/>
      </c:catAx>
      <c:valAx>
        <c:axId val="1426780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Purchases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78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Project_Updated.xlsx]Pivot_Tables!PivotTable4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Customer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Pivot_Tables!$B$38:$B$39</c:f>
              <c:strCache>
                <c:ptCount val="1"/>
                <c:pt idx="0">
                  <c:v>No</c:v>
                </c:pt>
              </c:strCache>
            </c:strRef>
          </c:tx>
          <c:spPr>
            <a:solidFill>
              <a:schemeClr val="accent1"/>
            </a:solidFill>
            <a:ln>
              <a:noFill/>
            </a:ln>
            <a:effectLst/>
          </c:spPr>
          <c:invertIfNegative val="0"/>
          <c:cat>
            <c:strRef>
              <c:f>Pivot_Tables!$A$40:$A$43</c:f>
              <c:strCache>
                <c:ptCount val="3"/>
                <c:pt idx="0">
                  <c:v>Adolescent</c:v>
                </c:pt>
                <c:pt idx="1">
                  <c:v>Middle_Age</c:v>
                </c:pt>
                <c:pt idx="2">
                  <c:v>Old</c:v>
                </c:pt>
              </c:strCache>
            </c:strRef>
          </c:cat>
          <c:val>
            <c:numRef>
              <c:f>Pivot_Tables!$B$40:$B$43</c:f>
              <c:numCache>
                <c:formatCode>General</c:formatCode>
                <c:ptCount val="3"/>
                <c:pt idx="0">
                  <c:v>71</c:v>
                </c:pt>
                <c:pt idx="1">
                  <c:v>318</c:v>
                </c:pt>
                <c:pt idx="2">
                  <c:v>130</c:v>
                </c:pt>
              </c:numCache>
            </c:numRef>
          </c:val>
          <c:extLst>
            <c:ext xmlns:c16="http://schemas.microsoft.com/office/drawing/2014/chart" uri="{C3380CC4-5D6E-409C-BE32-E72D297353CC}">
              <c16:uniqueId val="{00000000-7BBC-4674-A209-669D6CF3F319}"/>
            </c:ext>
          </c:extLst>
        </c:ser>
        <c:ser>
          <c:idx val="1"/>
          <c:order val="1"/>
          <c:tx>
            <c:strRef>
              <c:f>Pivot_Tables!$C$38:$C$39</c:f>
              <c:strCache>
                <c:ptCount val="1"/>
                <c:pt idx="0">
                  <c:v>Yes</c:v>
                </c:pt>
              </c:strCache>
            </c:strRef>
          </c:tx>
          <c:spPr>
            <a:solidFill>
              <a:schemeClr val="accent2"/>
            </a:solidFill>
            <a:ln>
              <a:noFill/>
            </a:ln>
            <a:effectLst/>
          </c:spPr>
          <c:invertIfNegative val="0"/>
          <c:cat>
            <c:strRef>
              <c:f>Pivot_Tables!$A$40:$A$43</c:f>
              <c:strCache>
                <c:ptCount val="3"/>
                <c:pt idx="0">
                  <c:v>Adolescent</c:v>
                </c:pt>
                <c:pt idx="1">
                  <c:v>Middle_Age</c:v>
                </c:pt>
                <c:pt idx="2">
                  <c:v>Old</c:v>
                </c:pt>
              </c:strCache>
            </c:strRef>
          </c:cat>
          <c:val>
            <c:numRef>
              <c:f>Pivot_Tables!$C$40:$C$43</c:f>
              <c:numCache>
                <c:formatCode>General</c:formatCode>
                <c:ptCount val="3"/>
                <c:pt idx="0">
                  <c:v>39</c:v>
                </c:pt>
                <c:pt idx="1">
                  <c:v>383</c:v>
                </c:pt>
                <c:pt idx="2">
                  <c:v>59</c:v>
                </c:pt>
              </c:numCache>
            </c:numRef>
          </c:val>
          <c:extLst>
            <c:ext xmlns:c16="http://schemas.microsoft.com/office/drawing/2014/chart" uri="{C3380CC4-5D6E-409C-BE32-E72D297353CC}">
              <c16:uniqueId val="{00000001-7BBC-4674-A209-669D6CF3F319}"/>
            </c:ext>
          </c:extLst>
        </c:ser>
        <c:dLbls>
          <c:showLegendKey val="0"/>
          <c:showVal val="0"/>
          <c:showCatName val="0"/>
          <c:showSerName val="0"/>
          <c:showPercent val="0"/>
          <c:showBubbleSize val="0"/>
        </c:dLbls>
        <c:gapWidth val="219"/>
        <c:overlap val="-27"/>
        <c:axId val="1426786735"/>
        <c:axId val="1426787215"/>
      </c:barChart>
      <c:catAx>
        <c:axId val="1426786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Age_Bracket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787215"/>
        <c:crosses val="autoZero"/>
        <c:auto val="1"/>
        <c:lblAlgn val="ctr"/>
        <c:lblOffset val="100"/>
        <c:noMultiLvlLbl val="0"/>
      </c:catAx>
      <c:valAx>
        <c:axId val="1426787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Purchase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78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129540</xdr:colOff>
      <xdr:row>0</xdr:row>
      <xdr:rowOff>15240</xdr:rowOff>
    </xdr:from>
    <xdr:to>
      <xdr:col>12</xdr:col>
      <xdr:colOff>594360</xdr:colOff>
      <xdr:row>16</xdr:row>
      <xdr:rowOff>175260</xdr:rowOff>
    </xdr:to>
    <xdr:graphicFrame macro="">
      <xdr:nvGraphicFramePr>
        <xdr:cNvPr id="2" name="Chart 1">
          <a:extLst>
            <a:ext uri="{FF2B5EF4-FFF2-40B4-BE49-F238E27FC236}">
              <a16:creationId xmlns:a16="http://schemas.microsoft.com/office/drawing/2014/main" id="{621B72FF-F116-C1A5-9B21-1AF51C330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289560</xdr:colOff>
      <xdr:row>19</xdr:row>
      <xdr:rowOff>171450</xdr:rowOff>
    </xdr:from>
    <xdr:to>
      <xdr:col>12</xdr:col>
      <xdr:colOff>152400</xdr:colOff>
      <xdr:row>34</xdr:row>
      <xdr:rowOff>171450</xdr:rowOff>
    </xdr:to>
    <xdr:graphicFrame macro="">
      <xdr:nvGraphicFramePr>
        <xdr:cNvPr id="4" name="Chart 3">
          <a:extLst>
            <a:ext uri="{FF2B5EF4-FFF2-40B4-BE49-F238E27FC236}">
              <a16:creationId xmlns:a16="http://schemas.microsoft.com/office/drawing/2014/main" id="{D221E692-65A6-C2C6-AE9A-8D018B5A9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289560</xdr:colOff>
      <xdr:row>36</xdr:row>
      <xdr:rowOff>171450</xdr:rowOff>
    </xdr:from>
    <xdr:to>
      <xdr:col>12</xdr:col>
      <xdr:colOff>152400</xdr:colOff>
      <xdr:row>51</xdr:row>
      <xdr:rowOff>171450</xdr:rowOff>
    </xdr:to>
    <xdr:graphicFrame macro="">
      <xdr:nvGraphicFramePr>
        <xdr:cNvPr id="5" name="Chart 4">
          <a:extLst>
            <a:ext uri="{FF2B5EF4-FFF2-40B4-BE49-F238E27FC236}">
              <a16:creationId xmlns:a16="http://schemas.microsoft.com/office/drawing/2014/main" id="{FBE73E58-6BF0-7963-E7F8-B00CC4D2A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0</xdr:colOff>
      <xdr:row>43</xdr:row>
      <xdr:rowOff>106680</xdr:rowOff>
    </xdr:from>
    <xdr:ext cx="2004060" cy="982980"/>
    <xdr:sp macro="" textlink="">
      <xdr:nvSpPr>
        <xdr:cNvPr id="6" name="TextBox 5">
          <a:extLst>
            <a:ext uri="{FF2B5EF4-FFF2-40B4-BE49-F238E27FC236}">
              <a16:creationId xmlns:a16="http://schemas.microsoft.com/office/drawing/2014/main" id="{BFAF5B22-694F-F3EB-86C3-221ED15E125C}"/>
            </a:ext>
          </a:extLst>
        </xdr:cNvPr>
        <xdr:cNvSpPr txBox="1"/>
      </xdr:nvSpPr>
      <xdr:spPr>
        <a:xfrm>
          <a:off x="0" y="7970520"/>
          <a:ext cx="2004060" cy="982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accent1">
                  <a:lumMod val="60000"/>
                  <a:lumOff val="40000"/>
                </a:schemeClr>
              </a:solidFill>
            </a:rPr>
            <a:t>Adolescent : 0 to 30 years</a:t>
          </a:r>
        </a:p>
        <a:p>
          <a:r>
            <a:rPr lang="en-US" sz="1100" b="1">
              <a:solidFill>
                <a:schemeClr val="accent1">
                  <a:lumMod val="60000"/>
                  <a:lumOff val="40000"/>
                </a:schemeClr>
              </a:solidFill>
            </a:rPr>
            <a:t>Middle_Age :</a:t>
          </a:r>
          <a:r>
            <a:rPr lang="en-US" sz="1100" b="1" baseline="0">
              <a:solidFill>
                <a:schemeClr val="accent1">
                  <a:lumMod val="60000"/>
                  <a:lumOff val="40000"/>
                </a:schemeClr>
              </a:solidFill>
            </a:rPr>
            <a:t> 31 to 54</a:t>
          </a:r>
        </a:p>
        <a:p>
          <a:r>
            <a:rPr lang="en-US" sz="1100" b="1" baseline="0">
              <a:solidFill>
                <a:schemeClr val="accent1">
                  <a:lumMod val="60000"/>
                  <a:lumOff val="40000"/>
                </a:schemeClr>
              </a:solidFill>
            </a:rPr>
            <a:t>Old : 55+</a:t>
          </a:r>
          <a:endParaRPr lang="en-US" sz="1100" b="1">
            <a:solidFill>
              <a:schemeClr val="accent1">
                <a:lumMod val="60000"/>
                <a:lumOff val="40000"/>
              </a:schemeClr>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9</xdr:col>
      <xdr:colOff>335280</xdr:colOff>
      <xdr:row>3</xdr:row>
      <xdr:rowOff>45720</xdr:rowOff>
    </xdr:from>
    <xdr:to>
      <xdr:col>16</xdr:col>
      <xdr:colOff>0</xdr:colOff>
      <xdr:row>16</xdr:row>
      <xdr:rowOff>15240</xdr:rowOff>
    </xdr:to>
    <xdr:graphicFrame macro="">
      <xdr:nvGraphicFramePr>
        <xdr:cNvPr id="2" name="Chart 1">
          <a:extLst>
            <a:ext uri="{FF2B5EF4-FFF2-40B4-BE49-F238E27FC236}">
              <a16:creationId xmlns:a16="http://schemas.microsoft.com/office/drawing/2014/main" id="{DC7406FC-41CF-4665-B50A-DE0A5D326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320040</xdr:colOff>
      <xdr:row>3</xdr:row>
      <xdr:rowOff>38100</xdr:rowOff>
    </xdr:from>
    <xdr:to>
      <xdr:col>9</xdr:col>
      <xdr:colOff>297180</xdr:colOff>
      <xdr:row>16</xdr:row>
      <xdr:rowOff>7620</xdr:rowOff>
    </xdr:to>
    <xdr:graphicFrame macro="">
      <xdr:nvGraphicFramePr>
        <xdr:cNvPr id="3" name="Chart 2">
          <a:extLst>
            <a:ext uri="{FF2B5EF4-FFF2-40B4-BE49-F238E27FC236}">
              <a16:creationId xmlns:a16="http://schemas.microsoft.com/office/drawing/2014/main" id="{CA2B325E-C6B3-4554-8C33-EE629D965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320040</xdr:colOff>
      <xdr:row>16</xdr:row>
      <xdr:rowOff>30480</xdr:rowOff>
    </xdr:from>
    <xdr:to>
      <xdr:col>15</xdr:col>
      <xdr:colOff>594360</xdr:colOff>
      <xdr:row>29</xdr:row>
      <xdr:rowOff>38100</xdr:rowOff>
    </xdr:to>
    <xdr:graphicFrame macro="">
      <xdr:nvGraphicFramePr>
        <xdr:cNvPr id="4" name="Chart 3">
          <a:extLst>
            <a:ext uri="{FF2B5EF4-FFF2-40B4-BE49-F238E27FC236}">
              <a16:creationId xmlns:a16="http://schemas.microsoft.com/office/drawing/2014/main" id="{A81180D7-3E2D-4A51-9C54-5D783FE48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xdr:row>
      <xdr:rowOff>22861</xdr:rowOff>
    </xdr:from>
    <xdr:to>
      <xdr:col>3</xdr:col>
      <xdr:colOff>281940</xdr:colOff>
      <xdr:row>8</xdr:row>
      <xdr:rowOff>30481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CC896AE-E0F3-008C-67C3-EF86FB80CD1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09600" y="571501"/>
              <a:ext cx="150114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14</xdr:row>
      <xdr:rowOff>121921</xdr:rowOff>
    </xdr:from>
    <xdr:to>
      <xdr:col>3</xdr:col>
      <xdr:colOff>297180</xdr:colOff>
      <xdr:row>23</xdr:row>
      <xdr:rowOff>144781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1D751B3-3C9D-918A-2C22-AF27D1FEE21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09600" y="2682241"/>
              <a:ext cx="1516380" cy="166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8</xdr:row>
      <xdr:rowOff>45721</xdr:rowOff>
    </xdr:from>
    <xdr:to>
      <xdr:col>3</xdr:col>
      <xdr:colOff>289560</xdr:colOff>
      <xdr:row>14</xdr:row>
      <xdr:rowOff>99061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B9ECF68-82ED-263C-1CCD-2DC8EAD833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9600" y="1508761"/>
              <a:ext cx="150876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or Omar" refreshedDate="45962.790545601849" createdVersion="8" refreshedVersion="8" minRefreshableVersion="3" recordCount="1000" xr:uid="{E5A697D9-3CCA-4EF6-8B68-5FD3D706B3ED}">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Bracket" numFmtId="0">
      <sharedItems count="3">
        <s v="Middle_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669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BFA3E1-D8FD-4E40-A895-6B6DCBDBF38E}"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0FA226-1876-4353-9FD2-403845B27F4E}"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76DB8B-F30D-46F7-BAF5-8EE17FBB4125}"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5B49716-1F1D-4036-93F1-EA0C8359974B}" sourceName="Marital Status">
  <pivotTables>
    <pivotTable tabId="6" name="PivotTable2"/>
    <pivotTable tabId="6" name="PivotTable3"/>
    <pivotTable tabId="6" name="PivotTable4"/>
  </pivotTables>
  <data>
    <tabular pivotCacheId="186693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60C463A-D824-4A08-A227-471C1A73032C}" sourceName="Education">
  <pivotTables>
    <pivotTable tabId="6" name="PivotTable3"/>
    <pivotTable tabId="6" name="PivotTable2"/>
    <pivotTable tabId="6" name="PivotTable4"/>
  </pivotTables>
  <data>
    <tabular pivotCacheId="1866934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85B2CC-621A-451C-B610-23BAFBE61DB4}" sourceName="Region">
  <pivotTables>
    <pivotTable tabId="6" name="PivotTable3"/>
    <pivotTable tabId="6" name="PivotTable2"/>
    <pivotTable tabId="6" name="PivotTable4"/>
  </pivotTables>
  <data>
    <tabular pivotCacheId="1866934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B6E6C38-9CF7-4359-ACCA-AE6795864429}" cache="Slicer_Marital_Status" caption="Marital Status" rowHeight="234950"/>
  <slicer name="Education" xr10:uid="{0233A148-7B3F-45C1-B383-80A84E17DD84}" cache="Slicer_Education" caption="Education" rowHeight="234950"/>
  <slicer name="Region" xr10:uid="{F6667C23-D858-49B7-B396-763B07C20633}"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activeCell="B1"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9ABB3-2606-4141-BCC7-0203A85BAE4B}">
  <dimension ref="A1:N1001"/>
  <sheetViews>
    <sheetView topLeftCell="A977" workbookViewId="0">
      <selection activeCell="J1" sqref="J1:J1048576"/>
    </sheetView>
  </sheetViews>
  <sheetFormatPr defaultRowHeight="14.4" x14ac:dyDescent="0.3"/>
  <cols>
    <col min="2" max="2" width="15.6640625" customWidth="1"/>
    <col min="3" max="3" width="11.88671875" customWidth="1"/>
    <col min="4" max="4" width="14.21875" style="3" customWidth="1"/>
    <col min="5" max="5" width="14.88671875" customWidth="1"/>
    <col min="6" max="6" width="14" customWidth="1"/>
    <col min="7" max="7" width="13.88671875" customWidth="1"/>
    <col min="8" max="8" width="12.33203125" customWidth="1"/>
    <col min="9" max="9" width="10.5546875" customWidth="1"/>
    <col min="10" max="10" width="18.77734375" customWidth="1"/>
    <col min="11" max="11" width="14.21875" customWidth="1"/>
    <col min="12" max="12" width="12.109375" customWidth="1"/>
    <col min="13" max="13" width="21.21875" customWidth="1"/>
    <col min="14" max="14" width="13.332031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IF(L2&gt;54,"Old",IF(L2&gt;=31,"Middle_Age",IF(L2&lt;31,"Adolescent","Invalid")))</f>
        <v>Middle_Age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IF(L3&gt;54,"Old",IF(L3&gt;=31,"Middle_Age",IF(L3&lt;31,"Adolescent","Invalid")))</f>
        <v>Middle_Age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Middle_Age</v>
      </c>
      <c r="N5" t="s">
        <v>15</v>
      </c>
    </row>
    <row r="6" spans="1:14" x14ac:dyDescent="0.3">
      <c r="A6">
        <v>25597</v>
      </c>
      <c r="B6" t="s">
        <v>37</v>
      </c>
      <c r="C6" t="s">
        <v>39</v>
      </c>
      <c r="D6" s="3">
        <v>30000</v>
      </c>
      <c r="E6">
        <v>0</v>
      </c>
      <c r="F6" t="s">
        <v>13</v>
      </c>
      <c r="G6" t="s">
        <v>20</v>
      </c>
      <c r="H6" t="s">
        <v>18</v>
      </c>
      <c r="I6">
        <v>0</v>
      </c>
      <c r="J6" t="s">
        <v>16</v>
      </c>
      <c r="K6" t="s">
        <v>17</v>
      </c>
      <c r="L6">
        <v>36</v>
      </c>
      <c r="M6" t="str">
        <f t="shared" si="0"/>
        <v>Middle_Age</v>
      </c>
      <c r="N6" t="s">
        <v>15</v>
      </c>
    </row>
    <row r="7" spans="1:14" x14ac:dyDescent="0.3">
      <c r="A7">
        <v>13507</v>
      </c>
      <c r="B7" t="s">
        <v>36</v>
      </c>
      <c r="C7" t="s">
        <v>38</v>
      </c>
      <c r="D7" s="3">
        <v>10000</v>
      </c>
      <c r="E7">
        <v>2</v>
      </c>
      <c r="F7" t="s">
        <v>19</v>
      </c>
      <c r="G7" t="s">
        <v>25</v>
      </c>
      <c r="H7" t="s">
        <v>15</v>
      </c>
      <c r="I7">
        <v>0</v>
      </c>
      <c r="J7" t="s">
        <v>26</v>
      </c>
      <c r="K7" t="s">
        <v>17</v>
      </c>
      <c r="L7">
        <v>50</v>
      </c>
      <c r="M7" t="str">
        <f t="shared" si="0"/>
        <v>Middle_Age</v>
      </c>
      <c r="N7" t="s">
        <v>18</v>
      </c>
    </row>
    <row r="8" spans="1:14" x14ac:dyDescent="0.3">
      <c r="A8">
        <v>27974</v>
      </c>
      <c r="B8" t="s">
        <v>37</v>
      </c>
      <c r="C8" t="s">
        <v>39</v>
      </c>
      <c r="D8" s="3">
        <v>160000</v>
      </c>
      <c r="E8">
        <v>2</v>
      </c>
      <c r="F8" t="s">
        <v>27</v>
      </c>
      <c r="G8" t="s">
        <v>28</v>
      </c>
      <c r="H8" t="s">
        <v>15</v>
      </c>
      <c r="I8">
        <v>4</v>
      </c>
      <c r="J8" t="s">
        <v>16</v>
      </c>
      <c r="K8" t="s">
        <v>24</v>
      </c>
      <c r="L8">
        <v>33</v>
      </c>
      <c r="M8" t="str">
        <f t="shared" si="0"/>
        <v>Middle_Age</v>
      </c>
      <c r="N8" t="s">
        <v>15</v>
      </c>
    </row>
    <row r="9" spans="1:14" x14ac:dyDescent="0.3">
      <c r="A9">
        <v>19364</v>
      </c>
      <c r="B9" t="s">
        <v>36</v>
      </c>
      <c r="C9" t="s">
        <v>39</v>
      </c>
      <c r="D9" s="3">
        <v>40000</v>
      </c>
      <c r="E9">
        <v>1</v>
      </c>
      <c r="F9" t="s">
        <v>13</v>
      </c>
      <c r="G9" t="s">
        <v>14</v>
      </c>
      <c r="H9" t="s">
        <v>15</v>
      </c>
      <c r="I9">
        <v>0</v>
      </c>
      <c r="J9" t="s">
        <v>16</v>
      </c>
      <c r="K9" t="s">
        <v>17</v>
      </c>
      <c r="L9">
        <v>43</v>
      </c>
      <c r="M9" t="str">
        <f t="shared" si="0"/>
        <v>Middle_Age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Middle_Age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Middle_Age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Middle_Age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Middle_Age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Middle_Age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Middle_Age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Middle_Age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Middle_Age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Middle_Age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Middle_Age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Middle_Age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Middle_Age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Middle_Age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Middle_Age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Middle_Age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Middle_Age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Middle_Age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Middle_Age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Middle_Age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Middle_Age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Middle_Age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Middle_Age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Middle_Age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Middle_Age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Middle_Age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Middle_Age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Middle_Age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Middle_Age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Middle_Age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Middle_Age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Middle_Age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Middle_Age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Middle_Age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Middle_Age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Middle_Age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Middle_Age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Middle_Age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Middle_Age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Middle_Age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IF(L67&gt;54,"Old",IF(L67&gt;=31,"Middle_Age",IF(L67&lt;31,"Adolescent","Invalid")))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Middle_Age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Middle_Age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Middle_Age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Middle_Age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Middle_Age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Middle_Age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Middle_Age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Middle_Age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Middle_Age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Middle_Age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Middle_Age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Middle_Age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Middle_Age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Middle_Age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Middle_Age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Middle_Age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Middle_Age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Middle_Age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Middle_Age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Middle_Age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Middle_Age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Middle_Age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Middle_Age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Middle_Age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Middle_Age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Middle_Age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Middle_Age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Middle_Age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Middle_Age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Middle_Age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Middle_Age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Middle_Age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Middle_Age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Middle_Age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Middle_Age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Middle_Age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Middle_Age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Middle_Age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Middle_Age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Middle_Age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Middle_Age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Middle_Age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Middle_Age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IF(L131&gt;54,"Old",IF(L131&gt;=31,"Middle_Age",IF(L131&lt;31,"Adolescent","Invalid")))</f>
        <v>Middle_Age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Middle_Age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Middle_Age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Middle_Age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Middle_Age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Middle_Age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Middle_Age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Middle_Age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Middle_Age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Middle_Age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Middle_Age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Middle_Age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Middle_Age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Middle_Age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Middle_Age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Middle_Age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Middle_Age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Middle_Age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Middle_Age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Middle_Age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Middle_Age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Middle_Age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Middle_Age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Middle_Age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Middle_Age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Middle_Age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Middle_Age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Middle_Age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Middle_Age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Middle_Age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Middle_Age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Middle_Age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Middle_Age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Middle_Age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Middle_Age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Middle_Age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Middle_Age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Middle_Age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Middle_Age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Middle_Age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Middle_Age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Middle_Age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IF(L195&gt;54,"Old",IF(L195&gt;=31,"Middle_Age",IF(L195&lt;31,"Adolescent","Invalid")))</f>
        <v>Middle_Age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Middle_Age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Middle_Age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Middle_Age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Middle_Age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Middle_Age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Middle_Age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Middle_Age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Middle_Age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Middle_Age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Middle_Age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Middle_Age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Middle_Age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Middle_Age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Middle_Age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Middle_Age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Middle_Age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Middle_Age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Middle_Age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Middle_Age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Middle_Age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Middle_Age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Middle_Age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Middle_Age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Middle_Age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Middle_Age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Middle_Age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Middle_Age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Middle_Age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Middle_Age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Middle_Age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Middle_Age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Middle_Age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Middle_Age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Middle_Age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Middle_Age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Middle_Age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Middle_Age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Middle_Age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Middle_Age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Middle_Age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Middle_Age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IF(L259&gt;54,"Old",IF(L259&gt;=31,"Middle_Age",IF(L259&lt;31,"Adolescent","Invalid")))</f>
        <v>Middle_Age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Middle_Age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Middle_Age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Middle_Age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Middle_Age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Middle_Age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Middle_Age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Middle_Age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Middle_Age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Middle_Age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Middle_Age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Middle_Age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Middle_Age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Middle_Age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Middle_Age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Middle_Age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Middle_Age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Middle_Age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Middle_Age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Middle_Age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Middle_Age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Middle_Age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Middle_Age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Middle_Age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Middle_Age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Middle_Age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Middle_Age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Middle_Age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Middle_Age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Middle_Age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Middle_Age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Middle_Age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Middle_Age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Middle_Age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Middle_Age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Middle_Age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Middle_Age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Middle_Age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Middle_Age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Middle_Age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Middle_Age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Middle_Age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Middle_Age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Middle_Age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Middle_Age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Middle_Age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Middle_Age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Middle_Age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Middle_Age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Middle_Age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Middle_Age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Middle_Age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IF(L323&gt;54,"Old",IF(L323&gt;=31,"Middle_Age",IF(L323&lt;31,"Adolescent","Invalid")))</f>
        <v>Middle_Age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Middle_Age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Middle_Age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Middle_Age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Middle_Age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Middle_Age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Middle_Age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Middle_Age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Middle_Age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Middle_Age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Middle_Age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Middle_Age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Middle_Age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Middle_Age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Middle_Age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Middle_Age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Middle_Age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Middle_Age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Middle_Age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Middle_Age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Middle_Age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Middle_Age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Middle_Age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Middle_Age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Middle_Age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Middle_Age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Middle_Age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Middle_Age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Middle_Age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Middle_Age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Middle_Age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Middle_Age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Middle_Age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Middle_Age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Middle_Age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Middle_Age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Middle_Age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Middle_Age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Middle_Age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Middle_Age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Middle_Age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Middle_Age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Middle_Age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Middle_Age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Middle_Age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IF(L387&gt;54,"Old",IF(L387&gt;=31,"Middle_Age",IF(L387&lt;31,"Adolescent","Invalid")))</f>
        <v>Middle_Age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Middle_Age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Middle_Age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Middle_Age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Middle_Age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Middle_Age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Middle_Age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Middle_Age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Middle_Age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Middle_Age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Middle_Age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Middle_Age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Middle_Age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Middle_Age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Middle_Age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Middle_Age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Middle_Age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Middle_Age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Middle_Age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Middle_Age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Middle_Age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Middle_Age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Middle_Age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Middle_Age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Middle_Age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Middle_Age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Middle_Age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Middle_Age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Middle_Age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Middle_Age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Middle_Age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Middle_Age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Middle_Age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Middle_Age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Middle_Age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Middle_Age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Middle_Age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Middle_Age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Middle_Age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Middle_Age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Middle_Age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Middle_Age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Middle_Age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Middle_Age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Middle_Age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Middle_Age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Middle_Age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Middle_Age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Middle_Age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Middle_Age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Middle_Age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IF(L451&gt;54,"Old",IF(L451&gt;=31,"Middle_Age",IF(L451&lt;31,"Adolescent","Invalid")))</f>
        <v>Middle_Age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Middle_Age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Middle_Age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Middle_Age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Middle_Age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Middle_Age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Middle_Age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Middle_Age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Middle_Age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Middle_Age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Middle_Age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Middle_Age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Middle_Age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Middle_Age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Middle_Age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Middle_Age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Middle_Age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Middle_Age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Middle_Age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Middle_Age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Middle_Age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Middle_Age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Middle_Age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Middle_Age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Middle_Age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Middle_Age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Middle_Age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Middle_Age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Middle_Age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Middle_Age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Middle_Age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Middle_Age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Middle_Age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Middle_Age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Middle_Age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Middle_Age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Middle_Age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Middle_Age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Middle_Age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Middle_Age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Middle_Age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Middle_Age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Middle_Age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Middle_Age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Middle_Age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Middle_Age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Middle_Age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Middle_Age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Middle_Age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Middle_Age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Middle_Age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IF(L515&gt;54,"Old",IF(L515&gt;=31,"Middle_Age",IF(L515&lt;31,"Adolescent","Invalid")))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Middle_Age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Middle_Age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Middle_Age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Middle_Age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Middle_Age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Middle_Age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Middle_Age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Middle_Age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Middle_Age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Middle_Age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Middle_Age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Middle_Age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Middle_Age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Middle_Age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Middle_Age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Middle_Age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Middle_Age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Middle_Age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Middle_Age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Middle_Age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Middle_Age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Middle_Age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Middle_Age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Middle_Age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Middle_Age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Middle_Age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Middle_Age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Middle_Age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Middle_Age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Middle_Age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Middle_Age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Middle_Age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Middle_Age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Middle_Age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Middle_Age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Middle_Age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Middle_Age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Middle_Age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Middle_Age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IF(L579&gt;54,"Old",IF(L579&gt;=31,"Middle_Age",IF(L579&lt;31,"Adolescent","Invalid")))</f>
        <v>Middle_Age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Middle_Age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Middle_Age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Middle_Age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Middle_Age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Middle_Age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Middle_Age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Middle_Age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Middle_Age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Middle_Age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Middle_Age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Middle_Age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Middle_Age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Middle_Age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Middle_Age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Middle_Age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Middle_Age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Middle_Age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Middle_Age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Middle_Age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Middle_Age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Middle_Age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Middle_Age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Middle_Age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Middle_Age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Middle_Age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Middle_Age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Middle_Age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Middle_Age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Middle_Age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Middle_Age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Middle_Age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Middle_Age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Middle_Age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Middle_Age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Middle_Age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Middle_Age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Middle_Age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Middle_Age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IF(L643&gt;54,"Old",IF(L643&gt;=31,"Middle_Age",IF(L643&lt;31,"Adolescent","Invalid")))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Middle_Age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Middle_Age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Middle_Age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Middle_Age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Middle_Age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Middle_Age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Middle_Age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Middle_Age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Middle_Age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Middle_Age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Middle_Age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Middle_Age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Middle_Age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Middle_Age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Middle_Age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Middle_Age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Middle_Age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Middle_Age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Middle_Age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Middle_Age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Middle_Age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Middle_Age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Middle_Age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Middle_Age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Middle_Age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Middle_Age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Middle_Age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Middle_Age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Middle_Age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Middle_Age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Middle_Age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Middle_Age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Middle_Age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Middle_Age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Middle_Age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Middle_Age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Middle_Age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Middle_Age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Middle_Age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Middle_Age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Middle_Age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Middle_Age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Middle_Age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Middle_Age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Middle_Age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Middle_Age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Middle_Age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IF(L707&gt;54,"Old",IF(L707&gt;=31,"Middle_Age",IF(L707&lt;31,"Adolescent","Invalid")))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Middle_Age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Middle_Age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Middle_Age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Middle_Age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Middle_Age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Middle_Age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Middle_Age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Middle_Age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Middle_Age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Middle_Age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Middle_Age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Middle_Age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Middle_Age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Middle_Age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Middle_Age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Middle_Age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Middle_Age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Middle_Age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Middle_Age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Middle_Age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Middle_Age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Middle_Age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Middle_Age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Middle_Age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Middle_Age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Middle_Age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Middle_Age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Middle_Age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Middle_Age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Middle_Age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Middle_Age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Middle_Age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Middle_Age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Middle_Age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Middle_Age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Middle_Age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Middle_Age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Middle_Age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Middle_Age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Middle_Age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Middle_Age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Middle_Age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Middle_Age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IF(L771&gt;54,"Old",IF(L771&gt;=31,"Middle_Age",IF(L771&lt;31,"Adolescent","Invalid")))</f>
        <v>Middle_Age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Middle_Age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Middle_Age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Middle_Age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Middle_Age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Middle_Age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Middle_Age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Middle_Age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Middle_Age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Middle_Age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Middle_Age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Middle_Age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Middle_Age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Middle_Age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Middle_Age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Middle_Age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Middle_Age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Middle_Age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Middle_Age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Middle_Age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Middle_Age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Middle_Age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Middle_Age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Middle_Age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Middle_Age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Middle_Age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Middle_Age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Middle_Age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Middle_Age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Middle_Age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Middle_Age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Middle_Age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Middle_Age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Middle_Age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Middle_Age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Middle_Age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Middle_Age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Middle_Age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Middle_Age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Middle_Age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Middle_Age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IF(L835&gt;54,"Old",IF(L835&gt;=31,"Middle_Age",IF(L835&lt;31,"Adolescent","Invalid")))</f>
        <v>Middle_Age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Middle_Age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Middle_Age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Middle_Age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Middle_Age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Middle_Age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Middle_Age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Middle_Age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Middle_Age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Middle_Age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Middle_Age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Middle_Age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Middle_Age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Middle_Age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Middle_Age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Middle_Age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Middle_Age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Middle_Age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Middle_Age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Middle_Age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Middle_Age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Middle_Age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Middle_Age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Middle_Age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Middle_Age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Middle_Age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Middle_Age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Middle_Age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Middle_Age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Middle_Age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Middle_Age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Middle_Age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Middle_Age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Middle_Age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Middle_Age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Middle_Age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Middle_Age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Middle_Age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Middle_Age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Middle_Age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Middle_Age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Middle_Age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Middle_Age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Middle_Age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Middle_Age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Middle_Age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IF(L899&gt;54,"Old",IF(L899&gt;=31,"Middle_Age",IF(L899&lt;31,"Adolescent","Invalid")))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Middle_Age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Middle_Age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Middle_Age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Middle_Age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Middle_Age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Middle_Age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Middle_Age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Middle_Age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Middle_Age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Middle_Age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Middle_Age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Middle_Age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Middle_Age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Middle_Age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Middle_Age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Middle_Age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Middle_Age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Middle_Age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Middle_Age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Middle_Age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Middle_Age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Middle_Age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Middle_Age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Middle_Age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Middle_Age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Middle_Age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Middle_Age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Middle_Age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Middle_Age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Middle_Age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Middle_Age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Middle_Age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Middle_Age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Middle_Age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Middle_Age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Middle_Age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Middle_Age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Middle_Age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Middle_Age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Middle_Age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Middle_Age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Middle_Age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Middle_Age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Middle_Age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Middle_Age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Middle_Age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Middle_Age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IF(L963&gt;54,"Old",IF(L963&gt;=31,"Middle_Age",IF(L963&lt;31,"Adolescent","Invalid")))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Middle_Age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Middle_Age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Middle_Age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Middle_Age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Middle_Age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Middle_Age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Middle_Age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Middle_Age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Middle_Age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Middle_Age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Middle_Age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Middle_Age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Middle_Age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Middle_Age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Middle_Age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Middle_Age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Middle_Age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Middle_Age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Middle_Age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Middle_Age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Middle_Age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Middle_Age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Middle_Age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Middle_Age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Middle_Age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Middle_Age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Middle_Age</v>
      </c>
      <c r="N1001" t="s">
        <v>15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6A85E-47E6-45AF-A11E-7EF4C3826266}">
  <dimension ref="A1:D43"/>
  <sheetViews>
    <sheetView tabSelected="1" topLeftCell="A29" workbookViewId="0">
      <selection activeCell="N16" sqref="N16"/>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44</v>
      </c>
      <c r="B1" s="4" t="s">
        <v>43</v>
      </c>
    </row>
    <row r="2" spans="1:4" x14ac:dyDescent="0.3">
      <c r="A2" s="4" t="s">
        <v>41</v>
      </c>
      <c r="B2" t="s">
        <v>18</v>
      </c>
      <c r="C2" t="s">
        <v>15</v>
      </c>
      <c r="D2" t="s">
        <v>42</v>
      </c>
    </row>
    <row r="3" spans="1:4" x14ac:dyDescent="0.3">
      <c r="A3" s="5" t="s">
        <v>38</v>
      </c>
      <c r="B3" s="6">
        <v>53440</v>
      </c>
      <c r="C3" s="6">
        <v>55774.058577405856</v>
      </c>
      <c r="D3" s="6">
        <v>54580.777096114522</v>
      </c>
    </row>
    <row r="4" spans="1:4" x14ac:dyDescent="0.3">
      <c r="A4" s="5" t="s">
        <v>39</v>
      </c>
      <c r="B4" s="6">
        <v>56208.178438661707</v>
      </c>
      <c r="C4" s="6">
        <v>60123.966942148763</v>
      </c>
      <c r="D4" s="6">
        <v>58062.62230919765</v>
      </c>
    </row>
    <row r="5" spans="1:4" x14ac:dyDescent="0.3">
      <c r="A5" s="5" t="s">
        <v>42</v>
      </c>
      <c r="B5" s="6">
        <v>54874.759152215796</v>
      </c>
      <c r="C5" s="6">
        <v>57962.577962577961</v>
      </c>
      <c r="D5" s="6">
        <v>56360</v>
      </c>
    </row>
    <row r="21" spans="1:4" x14ac:dyDescent="0.3">
      <c r="A21" s="4" t="s">
        <v>45</v>
      </c>
      <c r="B21" s="4" t="s">
        <v>43</v>
      </c>
    </row>
    <row r="22" spans="1:4" x14ac:dyDescent="0.3">
      <c r="A22" s="4" t="s">
        <v>41</v>
      </c>
      <c r="B22" t="s">
        <v>18</v>
      </c>
      <c r="C22" t="s">
        <v>15</v>
      </c>
      <c r="D22" t="s">
        <v>42</v>
      </c>
    </row>
    <row r="23" spans="1:4" x14ac:dyDescent="0.3">
      <c r="A23" s="5" t="s">
        <v>16</v>
      </c>
      <c r="B23" s="7">
        <v>166</v>
      </c>
      <c r="C23" s="7">
        <v>200</v>
      </c>
      <c r="D23" s="7">
        <v>366</v>
      </c>
    </row>
    <row r="24" spans="1:4" x14ac:dyDescent="0.3">
      <c r="A24" s="5" t="s">
        <v>26</v>
      </c>
      <c r="B24" s="7">
        <v>92</v>
      </c>
      <c r="C24" s="7">
        <v>77</v>
      </c>
      <c r="D24" s="7">
        <v>169</v>
      </c>
    </row>
    <row r="25" spans="1:4" x14ac:dyDescent="0.3">
      <c r="A25" s="5" t="s">
        <v>22</v>
      </c>
      <c r="B25" s="7">
        <v>67</v>
      </c>
      <c r="C25" s="7">
        <v>95</v>
      </c>
      <c r="D25" s="7">
        <v>162</v>
      </c>
    </row>
    <row r="26" spans="1:4" x14ac:dyDescent="0.3">
      <c r="A26" s="5" t="s">
        <v>23</v>
      </c>
      <c r="B26" s="7">
        <v>116</v>
      </c>
      <c r="C26" s="7">
        <v>76</v>
      </c>
      <c r="D26" s="7">
        <v>192</v>
      </c>
    </row>
    <row r="27" spans="1:4" x14ac:dyDescent="0.3">
      <c r="A27" s="5" t="s">
        <v>46</v>
      </c>
      <c r="B27" s="7">
        <v>78</v>
      </c>
      <c r="C27" s="7">
        <v>33</v>
      </c>
      <c r="D27" s="7">
        <v>111</v>
      </c>
    </row>
    <row r="28" spans="1:4" x14ac:dyDescent="0.3">
      <c r="A28" s="5" t="s">
        <v>42</v>
      </c>
      <c r="B28" s="7">
        <v>519</v>
      </c>
      <c r="C28" s="7">
        <v>481</v>
      </c>
      <c r="D28" s="7">
        <v>1000</v>
      </c>
    </row>
    <row r="38" spans="1:4" x14ac:dyDescent="0.3">
      <c r="A38" s="4" t="s">
        <v>45</v>
      </c>
      <c r="B38" s="4" t="s">
        <v>43</v>
      </c>
    </row>
    <row r="39" spans="1:4" x14ac:dyDescent="0.3">
      <c r="A39" s="4" t="s">
        <v>41</v>
      </c>
      <c r="B39" t="s">
        <v>18</v>
      </c>
      <c r="C39" t="s">
        <v>15</v>
      </c>
      <c r="D39" t="s">
        <v>42</v>
      </c>
    </row>
    <row r="40" spans="1:4" x14ac:dyDescent="0.3">
      <c r="A40" s="5" t="s">
        <v>47</v>
      </c>
      <c r="B40" s="7">
        <v>71</v>
      </c>
      <c r="C40" s="7">
        <v>39</v>
      </c>
      <c r="D40" s="7">
        <v>110</v>
      </c>
    </row>
    <row r="41" spans="1:4" x14ac:dyDescent="0.3">
      <c r="A41" s="5" t="s">
        <v>48</v>
      </c>
      <c r="B41" s="7">
        <v>318</v>
      </c>
      <c r="C41" s="7">
        <v>383</v>
      </c>
      <c r="D41" s="7">
        <v>701</v>
      </c>
    </row>
    <row r="42" spans="1:4" x14ac:dyDescent="0.3">
      <c r="A42" s="5" t="s">
        <v>49</v>
      </c>
      <c r="B42" s="7">
        <v>130</v>
      </c>
      <c r="C42" s="7">
        <v>59</v>
      </c>
      <c r="D42" s="7">
        <v>189</v>
      </c>
    </row>
    <row r="43" spans="1:4" x14ac:dyDescent="0.3">
      <c r="A43" s="5" t="s">
        <v>42</v>
      </c>
      <c r="B43" s="7">
        <v>519</v>
      </c>
      <c r="C43" s="7">
        <v>481</v>
      </c>
      <c r="D43"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C06E8-E2E3-48BC-8798-E78843406C9F}">
  <dimension ref="B1:P3"/>
  <sheetViews>
    <sheetView showGridLines="0" workbookViewId="0"/>
  </sheetViews>
  <sheetFormatPr defaultRowHeight="14.4" x14ac:dyDescent="0.3"/>
  <sheetData>
    <row r="1" spans="2:16" x14ac:dyDescent="0.3">
      <c r="B1" s="9" t="s">
        <v>50</v>
      </c>
      <c r="C1" s="8"/>
      <c r="D1" s="8"/>
      <c r="E1" s="8"/>
      <c r="F1" s="8"/>
      <c r="G1" s="8"/>
      <c r="H1" s="8"/>
      <c r="I1" s="8"/>
      <c r="J1" s="8"/>
      <c r="K1" s="8"/>
      <c r="L1" s="8"/>
      <c r="M1" s="8"/>
      <c r="N1" s="8"/>
      <c r="O1" s="8"/>
      <c r="P1" s="8"/>
    </row>
    <row r="2" spans="2:16" x14ac:dyDescent="0.3">
      <c r="B2" s="8"/>
      <c r="C2" s="8"/>
      <c r="D2" s="8"/>
      <c r="E2" s="8"/>
      <c r="F2" s="8"/>
      <c r="G2" s="8"/>
      <c r="H2" s="8"/>
      <c r="I2" s="8"/>
      <c r="J2" s="8"/>
      <c r="K2" s="8"/>
      <c r="L2" s="8"/>
      <c r="M2" s="8"/>
      <c r="N2" s="8"/>
      <c r="O2" s="8"/>
      <c r="P2" s="8"/>
    </row>
    <row r="3" spans="2:16" x14ac:dyDescent="0.3">
      <c r="B3" s="8"/>
      <c r="C3" s="8"/>
      <c r="D3" s="8"/>
      <c r="E3" s="8"/>
      <c r="F3" s="8"/>
      <c r="G3" s="8"/>
      <c r="H3" s="8"/>
      <c r="I3" s="8"/>
      <c r="J3" s="8"/>
      <c r="K3" s="8"/>
      <c r="L3" s="8"/>
      <c r="M3" s="8"/>
      <c r="N3" s="8"/>
      <c r="O3" s="8"/>
      <c r="P3" s="8"/>
    </row>
  </sheetData>
  <mergeCells count="1">
    <mergeCell ref="B1:P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 Omar</dc:creator>
  <cp:lastModifiedBy>TranspO Corp.</cp:lastModifiedBy>
  <dcterms:created xsi:type="dcterms:W3CDTF">2022-03-18T02:50:57Z</dcterms:created>
  <dcterms:modified xsi:type="dcterms:W3CDTF">2025-11-01T18:06:08Z</dcterms:modified>
</cp:coreProperties>
</file>